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charts/chartEx1.xml" ContentType="application/vnd.ms-office.chartex+xml"/>
  <Override PartName="/xl/charts/style1.xml" ContentType="application/vnd.ms-office.chartstyle+xml"/>
  <Override PartName="/xl/charts/colors1.xml" ContentType="application/vnd.ms-office.chartcolorstyle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/>
  <mc:AlternateContent xmlns:mc="http://schemas.openxmlformats.org/markup-compatibility/2006">
    <mc:Choice Requires="x15">
      <x15ac:absPath xmlns:x15ac="http://schemas.microsoft.com/office/spreadsheetml/2010/11/ac" url="https://d.docs.live.net/0ef5459e81eebc44/Desktop/"/>
    </mc:Choice>
  </mc:AlternateContent>
  <xr:revisionPtr revIDLastSave="7" documentId="8_{43AFDAA5-0C2D-4D52-97EE-83A1213F740A}" xr6:coauthVersionLast="47" xr6:coauthVersionMax="47" xr10:uidLastSave="{2BCE637F-EA63-4BE7-80DA-4E20F0B5F179}"/>
  <bookViews>
    <workbookView xWindow="-108" yWindow="-108" windowWidth="23256" windowHeight="12456" xr2:uid="{00000000-000D-0000-FFFF-FFFF00000000}"/>
  </bookViews>
  <sheets>
    <sheet name="Business_Data" sheetId="1" r:id="rId1"/>
    <sheet name="Student_Tasks" sheetId="2" r:id="rId2"/>
  </sheets>
  <definedNames>
    <definedName name="_xlchart.v1.0" hidden="1">Business_Data!$A$4:$O$28</definedName>
    <definedName name="_xlchart.v1.1" hidden="1">Business_Data!$P$3</definedName>
    <definedName name="_xlchart.v1.2" hidden="1">Business_Data!$P$4:$P$28</definedName>
  </definedNames>
  <calcPr calcId="191029" calcCompleted="0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M4" i="1" l="1"/>
  <c r="M5" i="1"/>
  <c r="M6" i="1"/>
  <c r="M7" i="1"/>
  <c r="M8" i="1"/>
  <c r="M9" i="1"/>
  <c r="M10" i="1"/>
  <c r="M11" i="1"/>
  <c r="M12" i="1"/>
  <c r="M13" i="1"/>
  <c r="M14" i="1"/>
  <c r="M15" i="1"/>
  <c r="M16" i="1"/>
  <c r="M17" i="1"/>
  <c r="M18" i="1"/>
  <c r="M19" i="1"/>
  <c r="M20" i="1"/>
  <c r="M21" i="1"/>
  <c r="M22" i="1"/>
  <c r="M23" i="1"/>
  <c r="M24" i="1"/>
  <c r="M25" i="1"/>
  <c r="M26" i="1"/>
  <c r="M27" i="1"/>
  <c r="M28" i="1"/>
  <c r="J4" i="1"/>
  <c r="J5" i="1"/>
  <c r="J6" i="1"/>
  <c r="J7" i="1"/>
  <c r="J8" i="1"/>
  <c r="J9" i="1"/>
  <c r="J10" i="1"/>
  <c r="J11" i="1"/>
  <c r="J12" i="1"/>
  <c r="J13" i="1"/>
  <c r="J14" i="1"/>
  <c r="J15" i="1"/>
  <c r="J16" i="1"/>
  <c r="J17" i="1"/>
  <c r="J18" i="1"/>
  <c r="J19" i="1"/>
  <c r="J20" i="1"/>
  <c r="J21" i="1"/>
  <c r="J22" i="1"/>
  <c r="J23" i="1"/>
  <c r="J24" i="1"/>
  <c r="J25" i="1"/>
  <c r="J26" i="1"/>
  <c r="J27" i="1"/>
  <c r="J28" i="1"/>
  <c r="L4" i="1"/>
  <c r="L5" i="1"/>
  <c r="L6" i="1"/>
  <c r="L7" i="1"/>
  <c r="L8" i="1"/>
  <c r="L9" i="1"/>
  <c r="L10" i="1"/>
  <c r="L11" i="1"/>
  <c r="L12" i="1"/>
  <c r="L13" i="1"/>
  <c r="L14" i="1"/>
  <c r="L15" i="1"/>
  <c r="L16" i="1"/>
  <c r="L17" i="1"/>
  <c r="L18" i="1"/>
  <c r="L19" i="1"/>
  <c r="L20" i="1"/>
  <c r="L21" i="1"/>
  <c r="L22" i="1"/>
  <c r="L23" i="1"/>
  <c r="L24" i="1"/>
  <c r="L25" i="1"/>
  <c r="L26" i="1"/>
  <c r="L27" i="1"/>
  <c r="L28" i="1"/>
  <c r="K28" i="1"/>
  <c r="K27" i="1"/>
  <c r="K26" i="1"/>
  <c r="K25" i="1"/>
  <c r="K24" i="1"/>
  <c r="K23" i="1"/>
  <c r="K22" i="1"/>
  <c r="K21" i="1"/>
  <c r="K20" i="1"/>
  <c r="K19" i="1"/>
  <c r="K18" i="1"/>
  <c r="K17" i="1"/>
  <c r="K16" i="1"/>
  <c r="K15" i="1"/>
  <c r="K14" i="1"/>
  <c r="K13" i="1"/>
  <c r="K12" i="1"/>
  <c r="K11" i="1"/>
  <c r="K10" i="1"/>
  <c r="K9" i="1"/>
  <c r="K8" i="1"/>
  <c r="K7" i="1"/>
  <c r="K6" i="1"/>
  <c r="K5" i="1"/>
  <c r="K4" i="1"/>
  <c r="S15" i="1"/>
  <c r="S14" i="1"/>
  <c r="S13" i="1"/>
  <c r="S12" i="1"/>
  <c r="S11" i="1"/>
  <c r="S10" i="1"/>
  <c r="S9" i="1"/>
  <c r="E17" i="2"/>
  <c r="E15" i="2"/>
  <c r="E14" i="2"/>
  <c r="E13" i="2"/>
  <c r="E10" i="2"/>
  <c r="E9" i="2"/>
  <c r="E4" i="2"/>
  <c r="E16" i="2"/>
  <c r="E11" i="2"/>
  <c r="E8" i="2"/>
  <c r="E5" i="2"/>
  <c r="E7" i="2"/>
  <c r="E12" i="2"/>
  <c r="E6" i="2"/>
</calcChain>
</file>

<file path=xl/sharedStrings.xml><?xml version="1.0" encoding="utf-8"?>
<sst xmlns="http://schemas.openxmlformats.org/spreadsheetml/2006/main" count="169" uniqueCount="147">
  <si>
    <t>KIOT - Advanced Excel &amp; Power BI | Batch 1 | Day 1 - Session 2: Essential Business Functions</t>
  </si>
  <si>
    <t>BUSINESS INPUTS</t>
  </si>
  <si>
    <t>Minimum Target %</t>
  </si>
  <si>
    <t>Employee ID</t>
  </si>
  <si>
    <t>Employee Name</t>
  </si>
  <si>
    <t>Department</t>
  </si>
  <si>
    <t>Previous Month Sales</t>
  </si>
  <si>
    <t>Current Month Sales</t>
  </si>
  <si>
    <t>Target</t>
  </si>
  <si>
    <t>Attendance %</t>
  </si>
  <si>
    <t>Customer Rating</t>
  </si>
  <si>
    <t>Deals Closed</t>
  </si>
  <si>
    <t>Achievement %</t>
  </si>
  <si>
    <t>Growth %</t>
  </si>
  <si>
    <t>Performance Status</t>
  </si>
  <si>
    <t>Eligibility</t>
  </si>
  <si>
    <t>Attention Flag</t>
  </si>
  <si>
    <t>Avg Sale / Deal</t>
  </si>
  <si>
    <t>Rounded Avg Sale</t>
  </si>
  <si>
    <t>High Performer Sales</t>
  </si>
  <si>
    <t>E001</t>
  </si>
  <si>
    <t>Arun Kumar</t>
  </si>
  <si>
    <t>Sales</t>
  </si>
  <si>
    <t>Minimum Attendance</t>
  </si>
  <si>
    <t>E002</t>
  </si>
  <si>
    <t>Divya S</t>
  </si>
  <si>
    <t>HR</t>
  </si>
  <si>
    <t>Growth Benchmark</t>
  </si>
  <si>
    <t>E003</t>
  </si>
  <si>
    <t>Kavin Raj</t>
  </si>
  <si>
    <t>Marketing</t>
  </si>
  <si>
    <t>Use</t>
  </si>
  <si>
    <t>These inputs support IF / AND / OR practice</t>
  </si>
  <si>
    <t>E004</t>
  </si>
  <si>
    <t>Meena K</t>
  </si>
  <si>
    <t>Finance</t>
  </si>
  <si>
    <t>E005</t>
  </si>
  <si>
    <t>Naveen P</t>
  </si>
  <si>
    <t>SUMMARY PRACTICE</t>
  </si>
  <si>
    <t>E006</t>
  </si>
  <si>
    <t>Priya R</t>
  </si>
  <si>
    <t>Operations</t>
  </si>
  <si>
    <t>Total Current Sales</t>
  </si>
  <si>
    <t>E007</t>
  </si>
  <si>
    <t>Rahul M</t>
  </si>
  <si>
    <t>Average Current Sales</t>
  </si>
  <si>
    <t>E008</t>
  </si>
  <si>
    <t>Shalini V</t>
  </si>
  <si>
    <t>Minimum Current Sales</t>
  </si>
  <si>
    <t>E009</t>
  </si>
  <si>
    <t>Sanjay K</t>
  </si>
  <si>
    <t>Maximum Current Sales</t>
  </si>
  <si>
    <t>E010</t>
  </si>
  <si>
    <t>Aarthi N</t>
  </si>
  <si>
    <t>Numeric Count</t>
  </si>
  <si>
    <t>E011</t>
  </si>
  <si>
    <t>Vignesh T</t>
  </si>
  <si>
    <t>Non-Blank Name Count</t>
  </si>
  <si>
    <t>E012</t>
  </si>
  <si>
    <t>Keerthana J</t>
  </si>
  <si>
    <t>Average Rating</t>
  </si>
  <si>
    <t>E013</t>
  </si>
  <si>
    <t>Praveen S</t>
  </si>
  <si>
    <t>E014</t>
  </si>
  <si>
    <t>Nithya A</t>
  </si>
  <si>
    <t>E015</t>
  </si>
  <si>
    <t>Dinesh R</t>
  </si>
  <si>
    <t>E016</t>
  </si>
  <si>
    <t>Harini P</t>
  </si>
  <si>
    <t>E017</t>
  </si>
  <si>
    <t>Mohan B</t>
  </si>
  <si>
    <t>E018</t>
  </si>
  <si>
    <t>Janani C</t>
  </si>
  <si>
    <t>E019</t>
  </si>
  <si>
    <t>Suresh D</t>
  </si>
  <si>
    <t>E020</t>
  </si>
  <si>
    <t>Lavanya M</t>
  </si>
  <si>
    <t>E021</t>
  </si>
  <si>
    <t>Ajay V</t>
  </si>
  <si>
    <t>E022</t>
  </si>
  <si>
    <t>Swetha R</t>
  </si>
  <si>
    <t>E023</t>
  </si>
  <si>
    <t>Gokul N</t>
  </si>
  <si>
    <t>E024</t>
  </si>
  <si>
    <t>Pavithra S</t>
  </si>
  <si>
    <t>E025</t>
  </si>
  <si>
    <t>Hari K</t>
  </si>
  <si>
    <t>DAY 1 - SESSION 2 | ESSENTIAL BUSINESS FUNCTIONS - STUDENT TASKS</t>
  </si>
  <si>
    <t>Task</t>
  </si>
  <si>
    <t>Function / Skill</t>
  </si>
  <si>
    <t>Where</t>
  </si>
  <si>
    <t>Student Work</t>
  </si>
  <si>
    <t>Expected Formula</t>
  </si>
  <si>
    <t>1</t>
  </si>
  <si>
    <t>SUM</t>
  </si>
  <si>
    <t>S9</t>
  </si>
  <si>
    <t>Find total Current Month Sales.</t>
  </si>
  <si>
    <t>2</t>
  </si>
  <si>
    <t>AVERAGE</t>
  </si>
  <si>
    <t>S10</t>
  </si>
  <si>
    <t>Find average Current Month Sales.</t>
  </si>
  <si>
    <t>3</t>
  </si>
  <si>
    <t>MIN</t>
  </si>
  <si>
    <t>S11</t>
  </si>
  <si>
    <t>Find minimum Current Month Sales.</t>
  </si>
  <si>
    <t>4</t>
  </si>
  <si>
    <t>MAX</t>
  </si>
  <si>
    <t>S12</t>
  </si>
  <si>
    <t>Find maximum Current Month Sales.</t>
  </si>
  <si>
    <t>5</t>
  </si>
  <si>
    <t>COUNT</t>
  </si>
  <si>
    <t>S13</t>
  </si>
  <si>
    <t>Count numeric Current Month Sales values.</t>
  </si>
  <si>
    <t>6</t>
  </si>
  <si>
    <t>COUNTA</t>
  </si>
  <si>
    <t>S14</t>
  </si>
  <si>
    <t>Count non-blank Employee Names.</t>
  </si>
  <si>
    <t>7</t>
  </si>
  <si>
    <t>S15</t>
  </si>
  <si>
    <t>Find average Customer Rating.</t>
  </si>
  <si>
    <t>8</t>
  </si>
  <si>
    <t>Percentage</t>
  </si>
  <si>
    <t>J4</t>
  </si>
  <si>
    <t>Achievement % = Current Sales / Target.</t>
  </si>
  <si>
    <t>9</t>
  </si>
  <si>
    <t>K4</t>
  </si>
  <si>
    <t>Growth = (Current - Previous) / Previous.</t>
  </si>
  <si>
    <t>10</t>
  </si>
  <si>
    <t>IF</t>
  </si>
  <si>
    <t>L4</t>
  </si>
  <si>
    <t>If Achievement &gt;= 90%, show Achieved; otherwise Below Target.</t>
  </si>
  <si>
    <t>11</t>
  </si>
  <si>
    <t>AND</t>
  </si>
  <si>
    <t>M4</t>
  </si>
  <si>
    <t>Eligible if Attendance &gt;=90% AND Rating &gt;=4.</t>
  </si>
  <si>
    <t>12</t>
  </si>
  <si>
    <t>OR</t>
  </si>
  <si>
    <t>N4</t>
  </si>
  <si>
    <t>Attention if Attendance &lt;90% OR Growth &lt;0.</t>
  </si>
  <si>
    <t>13</t>
  </si>
  <si>
    <t>IFERROR</t>
  </si>
  <si>
    <t>O4</t>
  </si>
  <si>
    <t>Average Sale per Deal = Current Sales / Deals Closed; handle errors.</t>
  </si>
  <si>
    <t>14</t>
  </si>
  <si>
    <t>ROUND</t>
  </si>
  <si>
    <t>P4</t>
  </si>
  <si>
    <t>Round Avg Sale / Deal to nearest whole rupee.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</si>
</sst>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\₹#,##0"/>
    <numFmt numFmtId="165" formatCode="0.0"/>
    <numFmt numFmtId="166" formatCode="0.0%"/>
    <numFmt numFmtId="167" formatCode="\₹#,##0.00"/>
  </numFmts>
  <fonts count="4">
    <font>
      <sz val="11"/>
      <name val="Carlito"/>
    </font>
    <font>
      <b/>
      <sz val="14"/>
      <color rgb="FFFFFFFF"/>
      <name val="Carlito"/>
    </font>
    <font>
      <b/>
      <sz val="11"/>
      <color rgb="FF123E63"/>
      <name val="Carlito"/>
    </font>
    <font>
      <b/>
      <sz val="11"/>
      <color rgb="FFFFFFFF"/>
      <name val="Carlito"/>
    </font>
  </fonts>
  <fills count="6">
    <fill>
      <patternFill patternType="none"/>
    </fill>
    <fill>
      <patternFill patternType="gray125"/>
    </fill>
    <fill>
      <patternFill patternType="solid">
        <fgColor rgb="FF123E63"/>
      </patternFill>
    </fill>
    <fill>
      <patternFill patternType="solid">
        <fgColor rgb="FFF7A51A"/>
      </patternFill>
    </fill>
    <fill>
      <patternFill patternType="solid">
        <fgColor rgb="FFFFF5D9"/>
      </patternFill>
    </fill>
    <fill>
      <patternFill patternType="solid">
        <fgColor rgb="FFEAF2F8"/>
      </patternFill>
    </fill>
  </fills>
  <borders count="9"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</borders>
  <cellStyleXfs count="1">
    <xf numFmtId="0" fontId="0" fillId="0" borderId="0"/>
  </cellStyleXfs>
  <cellXfs count="38">
    <xf numFmtId="0" fontId="0" fillId="0" borderId="0" xfId="0"/>
    <xf numFmtId="0" fontId="2" fillId="3" borderId="0" xfId="0" applyFont="1" applyFill="1" applyAlignment="1">
      <alignment horizontal="center"/>
    </xf>
    <xf numFmtId="0" fontId="0" fillId="4" borderId="0" xfId="0" applyFill="1"/>
    <xf numFmtId="0" fontId="2" fillId="4" borderId="0" xfId="0" applyFont="1" applyFill="1"/>
    <xf numFmtId="9" fontId="0" fillId="0" borderId="0" xfId="0" applyNumberFormat="1"/>
    <xf numFmtId="164" fontId="0" fillId="0" borderId="0" xfId="0" applyNumberFormat="1"/>
    <xf numFmtId="165" fontId="0" fillId="0" borderId="0" xfId="0" applyNumberFormat="1"/>
    <xf numFmtId="166" fontId="0" fillId="4" borderId="0" xfId="0" applyNumberFormat="1" applyFill="1"/>
    <xf numFmtId="167" fontId="0" fillId="4" borderId="0" xfId="0" applyNumberFormat="1" applyFill="1"/>
    <xf numFmtId="0" fontId="3" fillId="2" borderId="1" xfId="0" applyFont="1" applyFill="1" applyBorder="1" applyAlignment="1">
      <alignment horizontal="center" vertical="center" wrapText="1"/>
    </xf>
    <xf numFmtId="0" fontId="3" fillId="2" borderId="2" xfId="0" applyFont="1" applyFill="1" applyBorder="1" applyAlignment="1">
      <alignment horizontal="center" vertical="center" wrapText="1"/>
    </xf>
    <xf numFmtId="0" fontId="3" fillId="2" borderId="3" xfId="0" applyFont="1" applyFill="1" applyBorder="1" applyAlignment="1">
      <alignment horizontal="center" vertical="center" wrapText="1"/>
    </xf>
    <xf numFmtId="0" fontId="0" fillId="0" borderId="4" xfId="0" applyBorder="1"/>
    <xf numFmtId="167" fontId="0" fillId="4" borderId="5" xfId="0" applyNumberFormat="1" applyFill="1" applyBorder="1"/>
    <xf numFmtId="0" fontId="0" fillId="0" borderId="6" xfId="0" applyBorder="1"/>
    <xf numFmtId="0" fontId="0" fillId="0" borderId="7" xfId="0" applyBorder="1"/>
    <xf numFmtId="164" fontId="0" fillId="0" borderId="7" xfId="0" applyNumberFormat="1" applyBorder="1"/>
    <xf numFmtId="9" fontId="0" fillId="0" borderId="7" xfId="0" applyNumberFormat="1" applyBorder="1"/>
    <xf numFmtId="165" fontId="0" fillId="0" borderId="7" xfId="0" applyNumberFormat="1" applyBorder="1"/>
    <xf numFmtId="166" fontId="0" fillId="4" borderId="7" xfId="0" applyNumberFormat="1" applyFill="1" applyBorder="1"/>
    <xf numFmtId="0" fontId="0" fillId="4" borderId="7" xfId="0" applyFill="1" applyBorder="1"/>
    <xf numFmtId="167" fontId="0" fillId="4" borderId="7" xfId="0" applyNumberFormat="1" applyFill="1" applyBorder="1"/>
    <xf numFmtId="167" fontId="0" fillId="4" borderId="8" xfId="0" applyNumberFormat="1" applyFill="1" applyBorder="1"/>
    <xf numFmtId="0" fontId="3" fillId="2" borderId="0" xfId="0" applyFont="1" applyFill="1" applyAlignment="1">
      <alignment horizontal="center"/>
    </xf>
    <xf numFmtId="0" fontId="2" fillId="5" borderId="0" xfId="0" applyFont="1" applyFill="1"/>
    <xf numFmtId="164" fontId="0" fillId="4" borderId="0" xfId="0" applyNumberFormat="1" applyFill="1"/>
    <xf numFmtId="2" fontId="0" fillId="4" borderId="0" xfId="0" applyNumberFormat="1" applyFill="1"/>
    <xf numFmtId="0" fontId="2" fillId="3" borderId="1" xfId="0" applyFont="1" applyFill="1" applyBorder="1" applyAlignment="1">
      <alignment horizontal="center" wrapText="1"/>
    </xf>
    <xf numFmtId="0" fontId="2" fillId="3" borderId="2" xfId="0" applyFont="1" applyFill="1" applyBorder="1" applyAlignment="1">
      <alignment horizontal="center" wrapText="1"/>
    </xf>
    <xf numFmtId="0" fontId="2" fillId="3" borderId="3" xfId="0" applyFont="1" applyFill="1" applyBorder="1" applyAlignment="1">
      <alignment horizontal="center" wrapText="1"/>
    </xf>
    <xf numFmtId="0" fontId="0" fillId="0" borderId="4" xfId="0" applyBorder="1" applyAlignment="1">
      <alignment wrapText="1"/>
    </xf>
    <xf numFmtId="0" fontId="0" fillId="0" borderId="0" xfId="0" applyAlignment="1">
      <alignment wrapText="1"/>
    </xf>
    <xf numFmtId="0" fontId="0" fillId="0" borderId="5" xfId="0" applyBorder="1" applyAlignment="1">
      <alignment wrapText="1"/>
    </xf>
    <xf numFmtId="0" fontId="0" fillId="0" borderId="6" xfId="0" applyBorder="1" applyAlignment="1">
      <alignment wrapText="1"/>
    </xf>
    <xf numFmtId="0" fontId="0" fillId="0" borderId="7" xfId="0" applyBorder="1" applyAlignment="1">
      <alignment wrapText="1"/>
    </xf>
    <xf numFmtId="0" fontId="0" fillId="0" borderId="8" xfId="0" applyBorder="1" applyAlignment="1">
      <alignment wrapText="1"/>
    </xf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horizontal="center"/>
    </xf>
  </cellXfs>
  <cellStyles count="1">
    <cellStyle name="Normal" xfId="0" builtinId="0"/>
  </cellStyles>
  <dxfs count="4">
    <dxf>
      <numFmt numFmtId="0" formatCode="General"/>
    </dxf>
    <dxf>
      <numFmt numFmtId="0" formatCode="General"/>
    </dxf>
    <dxf>
      <numFmt numFmtId="166" formatCode="0.0%"/>
      <fill>
        <patternFill patternType="solid">
          <fgColor indexed="64"/>
          <bgColor rgb="FFFFF5D9"/>
        </patternFill>
      </fill>
    </dxf>
    <dxf>
      <numFmt numFmtId="166" formatCode="0.0%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microsoft.com/office/2017/10/relationships/person" Target="persons/perso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_rels/chartEx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Ex1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strDim type="cat">
        <cx:f>_xlchart.v1.0</cx:f>
      </cx:strDim>
      <cx:numDim type="size">
        <cx:f>_xlchart.v1.2</cx:f>
      </cx:numDim>
    </cx:data>
  </cx:chartData>
  <cx:chart>
    <cx:plotArea>
      <cx:plotAreaRegion>
        <cx:series layoutId="sunburst" uniqueId="{00000000-2B77-4070-910F-45356D650AAA}">
          <cx:tx>
            <cx:txData>
              <cx:f>_xlchart.v1.1</cx:f>
              <cx:v>Rounded Avg Sale</cx:v>
            </cx:txData>
          </cx:tx>
          <cx:dataLabels pos="ctr">
            <cx:visibility seriesName="0" categoryName="1" value="0"/>
          </cx:dataLabels>
          <cx:dataId val="0"/>
        </cx:series>
      </cx:plotAreaRegion>
    </cx:plotArea>
  </cx:chart>
</cx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386">
  <cs:axisTitle>
    <cs:lnRef idx="0"/>
    <cs:fillRef idx="0"/>
    <cs:effectRef idx="0"/>
    <cs:fontRef idx="major">
      <a:schemeClr val="dk1">
        <a:lumMod val="50000"/>
        <a:lumOff val="50000"/>
      </a:schemeClr>
    </cs:fontRef>
    <cs:defRPr sz="900"/>
  </cs:axisTitle>
  <cs:categoryAxis>
    <cs:lnRef idx="0"/>
    <cs:fillRef idx="0"/>
    <cs:effectRef idx="0"/>
    <cs:fontRef idx="major">
      <a:schemeClr val="dk1">
        <a:lumMod val="50000"/>
        <a:lumOff val="50000"/>
      </a:schemeClr>
    </cs:fontRef>
    <cs:defRPr sz="900"/>
  </cs:categoryAxis>
  <cs:chartArea>
    <cs:lnRef idx="0"/>
    <cs:fillRef idx="0"/>
    <cs:effectRef idx="0"/>
    <cs:fontRef idx="minor">
      <a:schemeClr val="dk1"/>
    </cs:fontRef>
    <cs:spPr>
      <a:pattFill prst="dkDnDiag">
        <a:fgClr>
          <a:schemeClr val="lt1"/>
        </a:fgClr>
        <a:bgClr>
          <a:schemeClr val="dk1">
            <a:lumMod val="10000"/>
            <a:lumOff val="90000"/>
          </a:schemeClr>
        </a:bgClr>
      </a:pattFill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/>
  </cs:chartArea>
  <cs:dataLabel>
    <cs:lnRef idx="0"/>
    <cs:fillRef idx="0"/>
    <cs:effectRef idx="0"/>
    <cs:fontRef idx="minor">
      <a:schemeClr val="dk1">
        <a:lumMod val="75000"/>
        <a:lumOff val="25000"/>
      </a:schemeClr>
    </cs:fontRef>
    <cs:defRPr sz="900"/>
    <cs:bodyPr lIns="38100" tIns="19050" rIns="38100" bIns="19050">
      <a:spAutoFit/>
    </cs:bodyPr>
  </cs:dataLabel>
  <cs:dataLabelCallout>
    <cs:lnRef idx="0"/>
    <cs:fillRef idx="0"/>
    <cs:effectRef idx="0"/>
    <cs:fontRef idx="major">
      <a:schemeClr val="dk1">
        <a:lumMod val="50000"/>
        <a:lumOff val="50000"/>
      </a:schemeClr>
    </cs:fontRef>
    <cs:spPr>
      <a:solidFill>
        <a:schemeClr val="lt1">
          <a:alpha val="75000"/>
        </a:schemeClr>
      </a:solidFill>
      <a:ln w="9525"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tx1"/>
    </cs:fontRef>
    <cs:spPr>
      <a:gradFill>
        <a:gsLst>
          <a:gs pos="100000">
            <a:schemeClr val="phClr">
              <a:lumMod val="60000"/>
              <a:lumOff val="40000"/>
            </a:schemeClr>
          </a:gs>
          <a:gs pos="0">
            <a:schemeClr val="phClr"/>
          </a:gs>
        </a:gsLst>
        <a:lin ang="5400000" scaled="0"/>
      </a:gradFill>
      <a:ln w="9525">
        <a:solidFill>
          <a:schemeClr val="lt1"/>
        </a:solidFill>
      </a:ln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800" kern="1200"/>
  </cs:dataTable>
  <cs:downBar>
    <cs:lnRef idx="0"/>
    <cs:fillRef idx="0"/>
    <cs:effectRef idx="0"/>
    <cs:fontRef idx="minor">
      <a:schemeClr val="dk1"/>
    </cs:fontRef>
    <cs:spPr>
      <a:solidFill>
        <a:schemeClr val="dk1"/>
      </a:solidFill>
    </cs:spPr>
  </cs:downBar>
  <cs:drop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50000"/>
            <a:lumOff val="50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5000"/>
            <a:lumOff val="95000"/>
            <a:lumOff val="10000"/>
          </a:schemeClr>
        </a:solidFill>
        <a:round/>
      </a:ln>
    </cs:spPr>
  </cs:gridlineMinor>
  <cs:hiLo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>
          <a:alpha val="50000"/>
        </a:schemeClr>
      </a:solidFill>
    </cs:spPr>
    <cs:defRPr sz="9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ajor">
      <a:schemeClr val="dk1">
        <a:lumMod val="50000"/>
        <a:lumOff val="50000"/>
      </a:schemeClr>
    </cs:fontRef>
    <cs:defRPr sz="900"/>
  </cs:seriesAxis>
  <cs:seriesLine>
    <cs:lnRef idx="0"/>
    <cs:fillRef idx="0"/>
    <cs:effectRef idx="0"/>
    <cs:fontRef idx="minor">
      <a:schemeClr val="dk1"/>
    </cs:fontRef>
    <cs:spPr>
      <a:ln w="9525" cap="flat">
        <a:solidFill>
          <a:schemeClr val="bg1">
            <a:lumMod val="50000"/>
          </a:schemeClr>
        </a:solidFill>
        <a:round/>
      </a:ln>
    </cs:spPr>
  </cs:seriesLine>
  <cs:title>
    <cs:lnRef idx="0"/>
    <cs:fillRef idx="0"/>
    <cs:effectRef idx="0"/>
    <cs:fontRef idx="major">
      <a:schemeClr val="dk1">
        <a:lumMod val="50000"/>
        <a:lumOff val="50000"/>
      </a:schemeClr>
    </cs:fontRef>
    <cs:defRPr sz="1600" b="1" spc="0" normalizeH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ajor">
      <a:schemeClr val="dk1">
        <a:lumMod val="50000"/>
        <a:lumOff val="50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</cs:spPr>
  </cs:upBar>
  <cs:valueAxis>
    <cs:lnRef idx="0"/>
    <cs:fillRef idx="0"/>
    <cs:effectRef idx="0"/>
    <cs:fontRef idx="major">
      <a:schemeClr val="dk1">
        <a:lumMod val="50000"/>
        <a:lumOff val="50000"/>
      </a:schemeClr>
    </cs:fontRef>
    <cs:defRPr sz="900"/>
  </cs:valueAxis>
  <cs:wall>
    <cs:lnRef idx="0"/>
    <cs:fillRef idx="0"/>
    <cs:effectRef idx="0"/>
    <cs:fontRef idx="minor">
      <a:schemeClr val="dk1"/>
    </cs:fontRef>
  </cs:wall>
</cs:chartStyle>
</file>

<file path=xl/drawings/_rels/drawing1.xml.rels><?xml version="1.0" encoding="UTF-8" standalone="yes"?>
<Relationships xmlns="http://schemas.openxmlformats.org/package/2006/relationships"><Relationship Id="rId1" Type="http://schemas.microsoft.com/office/2014/relationships/chartEx" Target="../charts/chartEx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64770</xdr:colOff>
      <xdr:row>28</xdr:row>
      <xdr:rowOff>38100</xdr:rowOff>
    </xdr:from>
    <xdr:to>
      <xdr:col>7</xdr:col>
      <xdr:colOff>902970</xdr:colOff>
      <xdr:row>28</xdr:row>
      <xdr:rowOff>91440</xdr:rowOff>
    </xdr:to>
    <mc:AlternateContent xmlns:mc="http://schemas.openxmlformats.org/markup-compatibility/2006">
      <mc:Choice xmlns:cx1="http://schemas.microsoft.com/office/drawing/2015/9/8/chartex" Requires="cx1">
        <xdr:graphicFrame macro="">
          <xdr:nvGraphicFramePr>
            <xdr:cNvPr id="2" name="Chart 1">
              <a:extLst>
                <a:ext uri="{FF2B5EF4-FFF2-40B4-BE49-F238E27FC236}">
                  <a16:creationId xmlns:a16="http://schemas.microsoft.com/office/drawing/2014/main" id="{26166ED5-E4F6-0E02-D8DE-A83DA9C73E96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1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4789170" y="5196840"/>
              <a:ext cx="4572000" cy="5334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n-IN" sz="1100"/>
                <a:t>This chart isn't available in your version of Excel.
Editing this shape or saving this workbook into a different file format will permanently break the chart.</a:t>
              </a:r>
            </a:p>
          </xdr:txBody>
        </xdr:sp>
      </mc:Fallback>
    </mc:AlternateContent>
    <xdr:clientData/>
  </xdr:twoCellAnchor>
</xdr:wsDr>
</file>

<file path=xl/persons/person.xml><?xml version="1.0" encoding="utf-8"?>
<personList xmlns="http://schemas.microsoft.com/office/spreadsheetml/2018/threadedcomments" xmlns:x="http://schemas.openxmlformats.org/spreadsheetml/2006/main"/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Session2BusinessTable" displayName="Session2BusinessTable" ref="A3:P28" totalsRowShown="0">
  <tableColumns count="16">
    <tableColumn id="1" xr3:uid="{00000000-0010-0000-0000-000001000000}" name="Employee ID"/>
    <tableColumn id="2" xr3:uid="{00000000-0010-0000-0000-000002000000}" name="Employee Name"/>
    <tableColumn id="3" xr3:uid="{00000000-0010-0000-0000-000003000000}" name="Department"/>
    <tableColumn id="4" xr3:uid="{00000000-0010-0000-0000-000004000000}" name="Previous Month Sales"/>
    <tableColumn id="5" xr3:uid="{00000000-0010-0000-0000-000005000000}" name="Current Month Sales"/>
    <tableColumn id="6" xr3:uid="{00000000-0010-0000-0000-000006000000}" name="Target"/>
    <tableColumn id="7" xr3:uid="{00000000-0010-0000-0000-000007000000}" name="Attendance %"/>
    <tableColumn id="8" xr3:uid="{00000000-0010-0000-0000-000008000000}" name="Customer Rating"/>
    <tableColumn id="9" xr3:uid="{00000000-0010-0000-0000-000009000000}" name="Deals Closed"/>
    <tableColumn id="10" xr3:uid="{00000000-0010-0000-0000-00000A000000}" name="Achievement %" dataDxfId="3">
      <calculatedColumnFormula>E4/F4</calculatedColumnFormula>
    </tableColumn>
    <tableColumn id="11" xr3:uid="{00000000-0010-0000-0000-00000B000000}" name="Growth %" dataDxfId="2">
      <calculatedColumnFormula>(Session2BusinessTable[[#This Row],[Current Month Sales]]-Session2BusinessTable[[#This Row],[Previous Month Sales]])/Session2BusinessTable[[#This Row],[Previous Month Sales]]</calculatedColumnFormula>
    </tableColumn>
    <tableColumn id="12" xr3:uid="{00000000-0010-0000-0000-00000C000000}" name="Performance Status" dataDxfId="1">
      <calculatedColumnFormula>IF(Session2BusinessTable[[#This Row],[Achievement %]]&gt;=90%,"achived","below target")</calculatedColumnFormula>
    </tableColumn>
    <tableColumn id="13" xr3:uid="{00000000-0010-0000-0000-00000D000000}" name="Eligibility" dataDxfId="0">
      <calculatedColumnFormula>IF(AND(G4&gt;S4),"eligible","not eligible")</calculatedColumnFormula>
    </tableColumn>
    <tableColumn id="14" xr3:uid="{00000000-0010-0000-0000-00000E000000}" name="Attention Flag"/>
    <tableColumn id="15" xr3:uid="{00000000-0010-0000-0000-00000F000000}" name="Avg Sale / Deal"/>
    <tableColumn id="16" xr3:uid="{00000000-0010-0000-0000-000010000000}" name="Rounded Avg Sale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S28"/>
  <sheetViews>
    <sheetView tabSelected="1" topLeftCell="B1" zoomScale="67" workbookViewId="0">
      <selection activeCell="N4" sqref="N4"/>
    </sheetView>
  </sheetViews>
  <sheetFormatPr defaultRowHeight="13.8"/>
  <cols>
    <col min="1" max="1" width="12" customWidth="1"/>
    <col min="2" max="2" width="18" customWidth="1"/>
    <col min="3" max="3" width="14" customWidth="1"/>
    <col min="4" max="6" width="18" customWidth="1"/>
    <col min="7" max="7" width="13" customWidth="1"/>
    <col min="8" max="8" width="15" customWidth="1"/>
    <col min="9" max="9" width="13" customWidth="1"/>
    <col min="10" max="11" width="14" customWidth="1"/>
    <col min="12" max="14" width="18" customWidth="1"/>
    <col min="15" max="16" width="17" customWidth="1"/>
    <col min="18" max="19" width="24" customWidth="1"/>
  </cols>
  <sheetData>
    <row r="1" spans="1:19" ht="22.35" customHeight="1">
      <c r="A1" s="36" t="s">
        <v>0</v>
      </c>
      <c r="B1" s="36"/>
      <c r="C1" s="36"/>
      <c r="D1" s="36"/>
      <c r="E1" s="36"/>
      <c r="F1" s="36"/>
      <c r="G1" s="36"/>
      <c r="H1" s="36"/>
      <c r="I1" s="36"/>
      <c r="J1" s="36"/>
      <c r="K1" s="36"/>
      <c r="L1" s="36"/>
      <c r="M1" s="36"/>
      <c r="N1" s="36"/>
      <c r="O1" s="36"/>
      <c r="P1" s="36"/>
      <c r="R1" s="1" t="s">
        <v>1</v>
      </c>
      <c r="S1" s="1"/>
    </row>
    <row r="2" spans="1:19">
      <c r="R2" s="3" t="s">
        <v>2</v>
      </c>
      <c r="S2" s="4">
        <v>0.9</v>
      </c>
    </row>
    <row r="3" spans="1:19" ht="25.65" customHeight="1">
      <c r="A3" s="9" t="s">
        <v>3</v>
      </c>
      <c r="B3" s="10" t="s">
        <v>4</v>
      </c>
      <c r="C3" s="10" t="s">
        <v>5</v>
      </c>
      <c r="D3" s="10" t="s">
        <v>6</v>
      </c>
      <c r="E3" s="10" t="s">
        <v>7</v>
      </c>
      <c r="F3" s="10" t="s">
        <v>8</v>
      </c>
      <c r="G3" s="10" t="s">
        <v>9</v>
      </c>
      <c r="H3" s="10" t="s">
        <v>10</v>
      </c>
      <c r="I3" s="10" t="s">
        <v>11</v>
      </c>
      <c r="J3" s="10" t="s">
        <v>12</v>
      </c>
      <c r="K3" s="10" t="s">
        <v>13</v>
      </c>
      <c r="L3" s="10" t="s">
        <v>14</v>
      </c>
      <c r="M3" s="10" t="s">
        <v>15</v>
      </c>
      <c r="N3" s="10" t="s">
        <v>16</v>
      </c>
      <c r="O3" s="10" t="s">
        <v>17</v>
      </c>
      <c r="P3" s="11" t="s">
        <v>18</v>
      </c>
      <c r="R3" s="3" t="s">
        <v>19</v>
      </c>
      <c r="S3" s="5">
        <v>90000</v>
      </c>
    </row>
    <row r="4" spans="1:19">
      <c r="A4" s="12" t="s">
        <v>20</v>
      </c>
      <c r="B4" t="s">
        <v>21</v>
      </c>
      <c r="C4" t="s">
        <v>22</v>
      </c>
      <c r="D4" s="5">
        <v>72000</v>
      </c>
      <c r="E4" s="5">
        <v>78000</v>
      </c>
      <c r="F4" s="5">
        <v>85000</v>
      </c>
      <c r="G4" s="4">
        <v>0.94</v>
      </c>
      <c r="H4" s="6">
        <v>4.3</v>
      </c>
      <c r="I4">
        <v>12</v>
      </c>
      <c r="J4" s="7">
        <f t="shared" ref="J4:J28" si="0">E4/F4</f>
        <v>0.91764705882352937</v>
      </c>
      <c r="K4" s="7">
        <f>(Session2BusinessTable[[#This Row],[Current Month Sales]]-Session2BusinessTable[[#This Row],[Previous Month Sales]])/Session2BusinessTable[[#This Row],[Previous Month Sales]]</f>
        <v>8.3333333333333329E-2</v>
      </c>
      <c r="L4" s="2" t="str">
        <f>IF(Session2BusinessTable[[#This Row],[Achievement %]]&gt;=90%,"achived","below target")</f>
        <v>achived</v>
      </c>
      <c r="M4" s="2" t="str">
        <f t="shared" ref="M4:M28" si="1">IF(AND(G4&gt;S4),"eligible","not eligible")</f>
        <v>eligible</v>
      </c>
      <c r="N4" s="2"/>
      <c r="O4" s="8"/>
      <c r="P4" s="13"/>
      <c r="R4" s="3" t="s">
        <v>23</v>
      </c>
      <c r="S4" s="4">
        <v>0.9</v>
      </c>
    </row>
    <row r="5" spans="1:19">
      <c r="A5" s="12" t="s">
        <v>24</v>
      </c>
      <c r="B5" t="s">
        <v>25</v>
      </c>
      <c r="C5" t="s">
        <v>26</v>
      </c>
      <c r="D5" s="5">
        <v>48000</v>
      </c>
      <c r="E5" s="5">
        <v>52000</v>
      </c>
      <c r="F5" s="5">
        <v>60000</v>
      </c>
      <c r="G5" s="4">
        <v>0.91</v>
      </c>
      <c r="H5" s="6">
        <v>4</v>
      </c>
      <c r="I5">
        <v>8</v>
      </c>
      <c r="J5" s="7">
        <f t="shared" si="0"/>
        <v>0.8666666666666667</v>
      </c>
      <c r="K5" s="7">
        <f>(Session2BusinessTable[[#This Row],[Current Month Sales]]-Session2BusinessTable[[#This Row],[Previous Month Sales]])/Session2BusinessTable[[#This Row],[Previous Month Sales]]</f>
        <v>8.3333333333333329E-2</v>
      </c>
      <c r="L5" s="2" t="str">
        <f>IF(Session2BusinessTable[[#This Row],[Achievement %]]&gt;=90%,"achived","below target")</f>
        <v>below target</v>
      </c>
      <c r="M5" s="2" t="str">
        <f t="shared" si="1"/>
        <v>eligible</v>
      </c>
      <c r="N5" s="2"/>
      <c r="O5" s="8"/>
      <c r="P5" s="13"/>
      <c r="R5" s="3" t="s">
        <v>27</v>
      </c>
      <c r="S5" s="4">
        <v>0.05</v>
      </c>
    </row>
    <row r="6" spans="1:19">
      <c r="A6" s="12" t="s">
        <v>28</v>
      </c>
      <c r="B6" t="s">
        <v>29</v>
      </c>
      <c r="C6" t="s">
        <v>30</v>
      </c>
      <c r="D6" s="5">
        <v>65000</v>
      </c>
      <c r="E6" s="5">
        <v>68000</v>
      </c>
      <c r="F6" s="5">
        <v>70000</v>
      </c>
      <c r="G6" s="4">
        <v>0.88</v>
      </c>
      <c r="H6" s="6">
        <v>4.0999999999999996</v>
      </c>
      <c r="I6">
        <v>10</v>
      </c>
      <c r="J6" s="7">
        <f t="shared" si="0"/>
        <v>0.97142857142857142</v>
      </c>
      <c r="K6" s="7">
        <f>(Session2BusinessTable[[#This Row],[Current Month Sales]]-Session2BusinessTable[[#This Row],[Previous Month Sales]])/Session2BusinessTable[[#This Row],[Previous Month Sales]]</f>
        <v>4.6153846153846156E-2</v>
      </c>
      <c r="L6" s="2" t="str">
        <f>IF(Session2BusinessTable[[#This Row],[Achievement %]]&gt;=90%,"achived","below target")</f>
        <v>achived</v>
      </c>
      <c r="M6" s="2" t="str">
        <f t="shared" si="1"/>
        <v>not eligible</v>
      </c>
      <c r="N6" s="2"/>
      <c r="O6" s="8"/>
      <c r="P6" s="13"/>
      <c r="R6" s="3" t="s">
        <v>31</v>
      </c>
      <c r="S6" t="s">
        <v>32</v>
      </c>
    </row>
    <row r="7" spans="1:19">
      <c r="A7" s="12" t="s">
        <v>33</v>
      </c>
      <c r="B7" t="s">
        <v>34</v>
      </c>
      <c r="C7" t="s">
        <v>35</v>
      </c>
      <c r="D7" s="5">
        <v>86000</v>
      </c>
      <c r="E7" s="5">
        <v>91000</v>
      </c>
      <c r="F7" s="5">
        <v>90000</v>
      </c>
      <c r="G7" s="4">
        <v>0.96</v>
      </c>
      <c r="H7" s="6">
        <v>4.7</v>
      </c>
      <c r="I7">
        <v>14</v>
      </c>
      <c r="J7" s="7">
        <f t="shared" si="0"/>
        <v>1.0111111111111111</v>
      </c>
      <c r="K7" s="7">
        <f>(Session2BusinessTable[[#This Row],[Current Month Sales]]-Session2BusinessTable[[#This Row],[Previous Month Sales]])/Session2BusinessTable[[#This Row],[Previous Month Sales]]</f>
        <v>5.8139534883720929E-2</v>
      </c>
      <c r="L7" s="2" t="str">
        <f>IF(Session2BusinessTable[[#This Row],[Achievement %]]&gt;=90%,"achived","below target")</f>
        <v>achived</v>
      </c>
      <c r="M7" s="2" t="str">
        <f t="shared" si="1"/>
        <v>eligible</v>
      </c>
      <c r="N7" s="2"/>
      <c r="O7" s="8"/>
      <c r="P7" s="13"/>
    </row>
    <row r="8" spans="1:19">
      <c r="A8" s="12" t="s">
        <v>36</v>
      </c>
      <c r="B8" t="s">
        <v>37</v>
      </c>
      <c r="C8" t="s">
        <v>22</v>
      </c>
      <c r="D8" s="5">
        <v>82000</v>
      </c>
      <c r="E8" s="5">
        <v>86000</v>
      </c>
      <c r="F8" s="5">
        <v>80000</v>
      </c>
      <c r="G8" s="4">
        <v>0.89</v>
      </c>
      <c r="H8" s="6">
        <v>4.4000000000000004</v>
      </c>
      <c r="I8">
        <v>13</v>
      </c>
      <c r="J8" s="7">
        <f t="shared" si="0"/>
        <v>1.075</v>
      </c>
      <c r="K8" s="7">
        <f>(Session2BusinessTable[[#This Row],[Current Month Sales]]-Session2BusinessTable[[#This Row],[Previous Month Sales]])/Session2BusinessTable[[#This Row],[Previous Month Sales]]</f>
        <v>4.878048780487805E-2</v>
      </c>
      <c r="L8" s="2" t="str">
        <f>IF(Session2BusinessTable[[#This Row],[Achievement %]]&gt;=90%,"achived","below target")</f>
        <v>achived</v>
      </c>
      <c r="M8" s="2" t="str">
        <f t="shared" si="1"/>
        <v>eligible</v>
      </c>
      <c r="N8" s="2"/>
      <c r="O8" s="8"/>
      <c r="P8" s="13"/>
      <c r="R8" s="23" t="s">
        <v>38</v>
      </c>
      <c r="S8" s="23"/>
    </row>
    <row r="9" spans="1:19">
      <c r="A9" s="12" t="s">
        <v>39</v>
      </c>
      <c r="B9" t="s">
        <v>40</v>
      </c>
      <c r="C9" t="s">
        <v>41</v>
      </c>
      <c r="D9" s="5">
        <v>49000</v>
      </c>
      <c r="E9" s="5">
        <v>47000</v>
      </c>
      <c r="F9" s="5">
        <v>55000</v>
      </c>
      <c r="G9" s="4">
        <v>0.93</v>
      </c>
      <c r="H9" s="6">
        <v>3.8</v>
      </c>
      <c r="I9">
        <v>7</v>
      </c>
      <c r="J9" s="7">
        <f t="shared" si="0"/>
        <v>0.8545454545454545</v>
      </c>
      <c r="K9" s="7">
        <f>(Session2BusinessTable[[#This Row],[Current Month Sales]]-Session2BusinessTable[[#This Row],[Previous Month Sales]])/Session2BusinessTable[[#This Row],[Previous Month Sales]]</f>
        <v>-4.0816326530612242E-2</v>
      </c>
      <c r="L9" s="2" t="str">
        <f>IF(Session2BusinessTable[[#This Row],[Achievement %]]&gt;=90%,"achived","below target")</f>
        <v>below target</v>
      </c>
      <c r="M9" s="2" t="str">
        <f t="shared" si="1"/>
        <v>not eligible</v>
      </c>
      <c r="N9" s="2"/>
      <c r="O9" s="8"/>
      <c r="P9" s="13"/>
      <c r="R9" s="24" t="s">
        <v>42</v>
      </c>
      <c r="S9" s="25">
        <f>SUM(Session2BusinessTable[Previous Month Sales])</f>
        <v>1783000</v>
      </c>
    </row>
    <row r="10" spans="1:19">
      <c r="A10" s="12" t="s">
        <v>43</v>
      </c>
      <c r="B10" t="s">
        <v>44</v>
      </c>
      <c r="C10" t="s">
        <v>22</v>
      </c>
      <c r="D10" s="5">
        <v>95000</v>
      </c>
      <c r="E10" s="5">
        <v>102000</v>
      </c>
      <c r="F10" s="5">
        <v>95000</v>
      </c>
      <c r="G10" s="4">
        <v>0.97</v>
      </c>
      <c r="H10" s="6">
        <v>4.8</v>
      </c>
      <c r="I10">
        <v>16</v>
      </c>
      <c r="J10" s="7">
        <f t="shared" si="0"/>
        <v>1.0736842105263158</v>
      </c>
      <c r="K10" s="7">
        <f>(Session2BusinessTable[[#This Row],[Current Month Sales]]-Session2BusinessTable[[#This Row],[Previous Month Sales]])/Session2BusinessTable[[#This Row],[Previous Month Sales]]</f>
        <v>7.3684210526315783E-2</v>
      </c>
      <c r="L10" s="2" t="str">
        <f>IF(Session2BusinessTable[[#This Row],[Achievement %]]&gt;=90%,"achived","below target")</f>
        <v>achived</v>
      </c>
      <c r="M10" s="2" t="str">
        <f t="shared" si="1"/>
        <v>not eligible</v>
      </c>
      <c r="N10" s="2"/>
      <c r="O10" s="8"/>
      <c r="P10" s="13"/>
      <c r="R10" s="24" t="s">
        <v>45</v>
      </c>
      <c r="S10" s="25">
        <f>AVERAGE(Session2BusinessTable[Previous Month Sales])</f>
        <v>71320</v>
      </c>
    </row>
    <row r="11" spans="1:19">
      <c r="A11" s="12" t="s">
        <v>46</v>
      </c>
      <c r="B11" t="s">
        <v>47</v>
      </c>
      <c r="C11" t="s">
        <v>30</v>
      </c>
      <c r="D11" s="5">
        <v>70000</v>
      </c>
      <c r="E11" s="5">
        <v>74000</v>
      </c>
      <c r="F11" s="5">
        <v>75000</v>
      </c>
      <c r="G11" s="4">
        <v>0.9</v>
      </c>
      <c r="H11" s="6">
        <v>4.2</v>
      </c>
      <c r="I11">
        <v>11</v>
      </c>
      <c r="J11" s="7">
        <f t="shared" si="0"/>
        <v>0.98666666666666669</v>
      </c>
      <c r="K11" s="7">
        <f>(Session2BusinessTable[[#This Row],[Current Month Sales]]-Session2BusinessTable[[#This Row],[Previous Month Sales]])/Session2BusinessTable[[#This Row],[Previous Month Sales]]</f>
        <v>5.7142857142857141E-2</v>
      </c>
      <c r="L11" s="2" t="str">
        <f>IF(Session2BusinessTable[[#This Row],[Achievement %]]&gt;=90%,"achived","below target")</f>
        <v>achived</v>
      </c>
      <c r="M11" s="2" t="str">
        <f t="shared" si="1"/>
        <v>not eligible</v>
      </c>
      <c r="N11" s="2"/>
      <c r="O11" s="8"/>
      <c r="P11" s="13"/>
      <c r="R11" s="24" t="s">
        <v>48</v>
      </c>
      <c r="S11" s="25">
        <f>MIN(Session2BusinessTable[Previous Month Sales])</f>
        <v>48000</v>
      </c>
    </row>
    <row r="12" spans="1:19">
      <c r="A12" s="12" t="s">
        <v>49</v>
      </c>
      <c r="B12" t="s">
        <v>50</v>
      </c>
      <c r="C12" t="s">
        <v>35</v>
      </c>
      <c r="D12" s="5">
        <v>61000</v>
      </c>
      <c r="E12" s="5">
        <v>63000</v>
      </c>
      <c r="F12" s="5">
        <v>65000</v>
      </c>
      <c r="G12" s="4">
        <v>0.86</v>
      </c>
      <c r="H12" s="6">
        <v>3.9</v>
      </c>
      <c r="I12">
        <v>9</v>
      </c>
      <c r="J12" s="7">
        <f t="shared" si="0"/>
        <v>0.96923076923076923</v>
      </c>
      <c r="K12" s="7">
        <f>(Session2BusinessTable[[#This Row],[Current Month Sales]]-Session2BusinessTable[[#This Row],[Previous Month Sales]])/Session2BusinessTable[[#This Row],[Previous Month Sales]]</f>
        <v>3.2786885245901641E-2</v>
      </c>
      <c r="L12" s="2" t="str">
        <f>IF(Session2BusinessTable[[#This Row],[Achievement %]]&gt;=90%,"achived","below target")</f>
        <v>achived</v>
      </c>
      <c r="M12" s="2" t="str">
        <f t="shared" si="1"/>
        <v>not eligible</v>
      </c>
      <c r="N12" s="2"/>
      <c r="O12" s="8"/>
      <c r="P12" s="13"/>
      <c r="R12" s="24" t="s">
        <v>51</v>
      </c>
      <c r="S12" s="25">
        <f>MAX(Session2BusinessTable[Previous Month Sales])</f>
        <v>101000</v>
      </c>
    </row>
    <row r="13" spans="1:19">
      <c r="A13" s="12" t="s">
        <v>52</v>
      </c>
      <c r="B13" t="s">
        <v>53</v>
      </c>
      <c r="C13" t="s">
        <v>26</v>
      </c>
      <c r="D13" s="5">
        <v>54000</v>
      </c>
      <c r="E13" s="5">
        <v>56000</v>
      </c>
      <c r="F13" s="5">
        <v>60000</v>
      </c>
      <c r="G13" s="4">
        <v>0.95</v>
      </c>
      <c r="H13" s="6">
        <v>4.3</v>
      </c>
      <c r="I13">
        <v>9</v>
      </c>
      <c r="J13" s="7">
        <f t="shared" si="0"/>
        <v>0.93333333333333335</v>
      </c>
      <c r="K13" s="7">
        <f>(Session2BusinessTable[[#This Row],[Current Month Sales]]-Session2BusinessTable[[#This Row],[Previous Month Sales]])/Session2BusinessTable[[#This Row],[Previous Month Sales]]</f>
        <v>3.7037037037037035E-2</v>
      </c>
      <c r="L13" s="2" t="str">
        <f>IF(Session2BusinessTable[[#This Row],[Achievement %]]&gt;=90%,"achived","below target")</f>
        <v>achived</v>
      </c>
      <c r="M13" s="2" t="str">
        <f t="shared" si="1"/>
        <v>not eligible</v>
      </c>
      <c r="N13" s="2"/>
      <c r="O13" s="8"/>
      <c r="P13" s="13"/>
      <c r="R13" s="24" t="s">
        <v>54</v>
      </c>
      <c r="S13" s="2">
        <f>COUNT(Session2BusinessTable[Previous Month Sales])</f>
        <v>25</v>
      </c>
    </row>
    <row r="14" spans="1:19">
      <c r="A14" s="12" t="s">
        <v>55</v>
      </c>
      <c r="B14" t="s">
        <v>56</v>
      </c>
      <c r="C14" t="s">
        <v>41</v>
      </c>
      <c r="D14" s="5">
        <v>56000</v>
      </c>
      <c r="E14" s="5">
        <v>59000</v>
      </c>
      <c r="F14" s="5">
        <v>62000</v>
      </c>
      <c r="G14" s="4">
        <v>0.92</v>
      </c>
      <c r="H14" s="6">
        <v>4</v>
      </c>
      <c r="I14">
        <v>8</v>
      </c>
      <c r="J14" s="7">
        <f t="shared" si="0"/>
        <v>0.95161290322580649</v>
      </c>
      <c r="K14" s="7">
        <f>(Session2BusinessTable[[#This Row],[Current Month Sales]]-Session2BusinessTable[[#This Row],[Previous Month Sales]])/Session2BusinessTable[[#This Row],[Previous Month Sales]]</f>
        <v>5.3571428571428568E-2</v>
      </c>
      <c r="L14" s="2" t="str">
        <f>IF(Session2BusinessTable[[#This Row],[Achievement %]]&gt;=90%,"achived","below target")</f>
        <v>achived</v>
      </c>
      <c r="M14" s="2" t="str">
        <f t="shared" si="1"/>
        <v>not eligible</v>
      </c>
      <c r="N14" s="2"/>
      <c r="O14" s="8"/>
      <c r="P14" s="13"/>
      <c r="R14" s="24" t="s">
        <v>57</v>
      </c>
      <c r="S14" s="2">
        <f>COUNTA(Session2BusinessTable[Previous Month Sales])</f>
        <v>25</v>
      </c>
    </row>
    <row r="15" spans="1:19">
      <c r="A15" s="12" t="s">
        <v>58</v>
      </c>
      <c r="B15" t="s">
        <v>59</v>
      </c>
      <c r="C15" t="s">
        <v>22</v>
      </c>
      <c r="D15" s="5">
        <v>84000</v>
      </c>
      <c r="E15" s="5">
        <v>88000</v>
      </c>
      <c r="F15" s="5">
        <v>85000</v>
      </c>
      <c r="G15" s="4">
        <v>0.98</v>
      </c>
      <c r="H15" s="6">
        <v>4.9000000000000004</v>
      </c>
      <c r="I15">
        <v>15</v>
      </c>
      <c r="J15" s="7">
        <f t="shared" si="0"/>
        <v>1.0352941176470589</v>
      </c>
      <c r="K15" s="7">
        <f>(Session2BusinessTable[[#This Row],[Current Month Sales]]-Session2BusinessTable[[#This Row],[Previous Month Sales]])/Session2BusinessTable[[#This Row],[Previous Month Sales]]</f>
        <v>4.7619047619047616E-2</v>
      </c>
      <c r="L15" s="2" t="str">
        <f>IF(Session2BusinessTable[[#This Row],[Achievement %]]&gt;=90%,"achived","below target")</f>
        <v>achived</v>
      </c>
      <c r="M15" s="2" t="str">
        <f t="shared" si="1"/>
        <v>not eligible</v>
      </c>
      <c r="N15" s="2"/>
      <c r="O15" s="8"/>
      <c r="P15" s="13"/>
      <c r="R15" s="24" t="s">
        <v>60</v>
      </c>
      <c r="S15" s="26">
        <f>AVERAGE(Session2BusinessTable[Customer Rating])</f>
        <v>4.2519999999999998</v>
      </c>
    </row>
    <row r="16" spans="1:19">
      <c r="A16" s="12" t="s">
        <v>61</v>
      </c>
      <c r="B16" t="s">
        <v>62</v>
      </c>
      <c r="C16" t="s">
        <v>30</v>
      </c>
      <c r="D16" s="5">
        <v>76000</v>
      </c>
      <c r="E16" s="5">
        <v>72000</v>
      </c>
      <c r="F16" s="5">
        <v>78000</v>
      </c>
      <c r="G16" s="4">
        <v>0.87</v>
      </c>
      <c r="H16" s="6">
        <v>3.7</v>
      </c>
      <c r="I16">
        <v>10</v>
      </c>
      <c r="J16" s="7">
        <f t="shared" si="0"/>
        <v>0.92307692307692313</v>
      </c>
      <c r="K16" s="7">
        <f>(Session2BusinessTable[[#This Row],[Current Month Sales]]-Session2BusinessTable[[#This Row],[Previous Month Sales]])/Session2BusinessTable[[#This Row],[Previous Month Sales]]</f>
        <v>-5.2631578947368418E-2</v>
      </c>
      <c r="L16" s="2" t="str">
        <f>IF(Session2BusinessTable[[#This Row],[Achievement %]]&gt;=90%,"achived","below target")</f>
        <v>achived</v>
      </c>
      <c r="M16" s="2" t="str">
        <f t="shared" si="1"/>
        <v>eligible</v>
      </c>
      <c r="N16" s="2"/>
      <c r="O16" s="8"/>
      <c r="P16" s="13"/>
    </row>
    <row r="17" spans="1:16">
      <c r="A17" s="12" t="s">
        <v>63</v>
      </c>
      <c r="B17" t="s">
        <v>64</v>
      </c>
      <c r="C17" t="s">
        <v>35</v>
      </c>
      <c r="D17" s="5">
        <v>90000</v>
      </c>
      <c r="E17" s="5">
        <v>97000</v>
      </c>
      <c r="F17" s="5">
        <v>92000</v>
      </c>
      <c r="G17" s="4">
        <v>0.94</v>
      </c>
      <c r="H17" s="6">
        <v>4.5999999999999996</v>
      </c>
      <c r="I17">
        <v>15</v>
      </c>
      <c r="J17" s="7">
        <f t="shared" si="0"/>
        <v>1.0543478260869565</v>
      </c>
      <c r="K17" s="7">
        <f>(Session2BusinessTable[[#This Row],[Current Month Sales]]-Session2BusinessTable[[#This Row],[Previous Month Sales]])/Session2BusinessTable[[#This Row],[Previous Month Sales]]</f>
        <v>7.7777777777777779E-2</v>
      </c>
      <c r="L17" s="2" t="str">
        <f>IF(Session2BusinessTable[[#This Row],[Achievement %]]&gt;=90%,"achived","below target")</f>
        <v>achived</v>
      </c>
      <c r="M17" s="2" t="str">
        <f t="shared" si="1"/>
        <v>eligible</v>
      </c>
      <c r="N17" s="2"/>
      <c r="O17" s="8"/>
      <c r="P17" s="13"/>
    </row>
    <row r="18" spans="1:16">
      <c r="A18" s="12" t="s">
        <v>65</v>
      </c>
      <c r="B18" t="s">
        <v>66</v>
      </c>
      <c r="C18" t="s">
        <v>22</v>
      </c>
      <c r="D18" s="5">
        <v>79000</v>
      </c>
      <c r="E18" s="5">
        <v>81000</v>
      </c>
      <c r="F18" s="5">
        <v>80000</v>
      </c>
      <c r="G18" s="4">
        <v>0.9</v>
      </c>
      <c r="H18" s="6">
        <v>4.0999999999999996</v>
      </c>
      <c r="I18">
        <v>12</v>
      </c>
      <c r="J18" s="7">
        <f t="shared" si="0"/>
        <v>1.0125</v>
      </c>
      <c r="K18" s="7">
        <f>(Session2BusinessTable[[#This Row],[Current Month Sales]]-Session2BusinessTable[[#This Row],[Previous Month Sales]])/Session2BusinessTable[[#This Row],[Previous Month Sales]]</f>
        <v>2.5316455696202531E-2</v>
      </c>
      <c r="L18" s="2" t="str">
        <f>IF(Session2BusinessTable[[#This Row],[Achievement %]]&gt;=90%,"achived","below target")</f>
        <v>achived</v>
      </c>
      <c r="M18" s="2" t="str">
        <f t="shared" si="1"/>
        <v>eligible</v>
      </c>
      <c r="N18" s="2"/>
      <c r="O18" s="8"/>
      <c r="P18" s="13"/>
    </row>
    <row r="19" spans="1:16">
      <c r="A19" s="12" t="s">
        <v>67</v>
      </c>
      <c r="B19" t="s">
        <v>68</v>
      </c>
      <c r="C19" t="s">
        <v>26</v>
      </c>
      <c r="D19" s="5">
        <v>52000</v>
      </c>
      <c r="E19" s="5">
        <v>54000</v>
      </c>
      <c r="F19" s="5">
        <v>58000</v>
      </c>
      <c r="G19" s="4">
        <v>0.89</v>
      </c>
      <c r="H19" s="6">
        <v>3.9</v>
      </c>
      <c r="I19">
        <v>8</v>
      </c>
      <c r="J19" s="7">
        <f t="shared" si="0"/>
        <v>0.93103448275862066</v>
      </c>
      <c r="K19" s="7">
        <f>(Session2BusinessTable[[#This Row],[Current Month Sales]]-Session2BusinessTable[[#This Row],[Previous Month Sales]])/Session2BusinessTable[[#This Row],[Previous Month Sales]]</f>
        <v>3.8461538461538464E-2</v>
      </c>
      <c r="L19" s="2" t="str">
        <f>IF(Session2BusinessTable[[#This Row],[Achievement %]]&gt;=90%,"achived","below target")</f>
        <v>achived</v>
      </c>
      <c r="M19" s="2" t="str">
        <f t="shared" si="1"/>
        <v>eligible</v>
      </c>
      <c r="N19" s="2"/>
      <c r="O19" s="8"/>
      <c r="P19" s="13"/>
    </row>
    <row r="20" spans="1:16">
      <c r="A20" s="12" t="s">
        <v>69</v>
      </c>
      <c r="B20" t="s">
        <v>70</v>
      </c>
      <c r="C20" t="s">
        <v>41</v>
      </c>
      <c r="D20" s="5">
        <v>64000</v>
      </c>
      <c r="E20" s="5">
        <v>66000</v>
      </c>
      <c r="F20" s="5">
        <v>65000</v>
      </c>
      <c r="G20" s="4">
        <v>0.96</v>
      </c>
      <c r="H20" s="6">
        <v>4.5</v>
      </c>
      <c r="I20">
        <v>10</v>
      </c>
      <c r="J20" s="7">
        <f t="shared" si="0"/>
        <v>1.0153846153846153</v>
      </c>
      <c r="K20" s="7">
        <f>(Session2BusinessTable[[#This Row],[Current Month Sales]]-Session2BusinessTable[[#This Row],[Previous Month Sales]])/Session2BusinessTable[[#This Row],[Previous Month Sales]]</f>
        <v>3.125E-2</v>
      </c>
      <c r="L20" s="2" t="str">
        <f>IF(Session2BusinessTable[[#This Row],[Achievement %]]&gt;=90%,"achived","below target")</f>
        <v>achived</v>
      </c>
      <c r="M20" s="2" t="str">
        <f t="shared" si="1"/>
        <v>eligible</v>
      </c>
      <c r="N20" s="2"/>
      <c r="O20" s="8"/>
      <c r="P20" s="13"/>
    </row>
    <row r="21" spans="1:16">
      <c r="A21" s="12" t="s">
        <v>71</v>
      </c>
      <c r="B21" t="s">
        <v>72</v>
      </c>
      <c r="C21" t="s">
        <v>30</v>
      </c>
      <c r="D21" s="5">
        <v>63000</v>
      </c>
      <c r="E21" s="5">
        <v>61000</v>
      </c>
      <c r="F21" s="5">
        <v>70000</v>
      </c>
      <c r="G21" s="4">
        <v>0.85</v>
      </c>
      <c r="H21" s="6">
        <v>3.6</v>
      </c>
      <c r="I21">
        <v>8</v>
      </c>
      <c r="J21" s="7">
        <f t="shared" si="0"/>
        <v>0.87142857142857144</v>
      </c>
      <c r="K21" s="7">
        <f>(Session2BusinessTable[[#This Row],[Current Month Sales]]-Session2BusinessTable[[#This Row],[Previous Month Sales]])/Session2BusinessTable[[#This Row],[Previous Month Sales]]</f>
        <v>-3.1746031746031744E-2</v>
      </c>
      <c r="L21" s="2" t="str">
        <f>IF(Session2BusinessTable[[#This Row],[Achievement %]]&gt;=90%,"achived","below target")</f>
        <v>below target</v>
      </c>
      <c r="M21" s="2" t="str">
        <f t="shared" si="1"/>
        <v>eligible</v>
      </c>
      <c r="N21" s="2"/>
      <c r="O21" s="8"/>
      <c r="P21" s="13"/>
    </row>
    <row r="22" spans="1:16">
      <c r="A22" s="12" t="s">
        <v>73</v>
      </c>
      <c r="B22" t="s">
        <v>74</v>
      </c>
      <c r="C22" t="s">
        <v>35</v>
      </c>
      <c r="D22" s="5">
        <v>80000</v>
      </c>
      <c r="E22" s="5">
        <v>84000</v>
      </c>
      <c r="F22" s="5">
        <v>82000</v>
      </c>
      <c r="G22" s="4">
        <v>0.93</v>
      </c>
      <c r="H22" s="6">
        <v>4.4000000000000004</v>
      </c>
      <c r="I22">
        <v>13</v>
      </c>
      <c r="J22" s="7">
        <f t="shared" si="0"/>
        <v>1.024390243902439</v>
      </c>
      <c r="K22" s="7">
        <f>(Session2BusinessTable[[#This Row],[Current Month Sales]]-Session2BusinessTable[[#This Row],[Previous Month Sales]])/Session2BusinessTable[[#This Row],[Previous Month Sales]]</f>
        <v>0.05</v>
      </c>
      <c r="L22" s="2" t="str">
        <f>IF(Session2BusinessTable[[#This Row],[Achievement %]]&gt;=90%,"achived","below target")</f>
        <v>achived</v>
      </c>
      <c r="M22" s="2" t="str">
        <f t="shared" si="1"/>
        <v>eligible</v>
      </c>
      <c r="N22" s="2"/>
      <c r="O22" s="8"/>
      <c r="P22" s="13"/>
    </row>
    <row r="23" spans="1:16">
      <c r="A23" s="12" t="s">
        <v>75</v>
      </c>
      <c r="B23" t="s">
        <v>76</v>
      </c>
      <c r="C23" t="s">
        <v>22</v>
      </c>
      <c r="D23" s="5">
        <v>101000</v>
      </c>
      <c r="E23" s="5">
        <v>108000</v>
      </c>
      <c r="F23" s="5">
        <v>100000</v>
      </c>
      <c r="G23" s="4">
        <v>0.97</v>
      </c>
      <c r="H23" s="6">
        <v>4.8</v>
      </c>
      <c r="I23">
        <v>17</v>
      </c>
      <c r="J23" s="7">
        <f t="shared" si="0"/>
        <v>1.08</v>
      </c>
      <c r="K23" s="7">
        <f>(Session2BusinessTable[[#This Row],[Current Month Sales]]-Session2BusinessTable[[#This Row],[Previous Month Sales]])/Session2BusinessTable[[#This Row],[Previous Month Sales]]</f>
        <v>6.9306930693069313E-2</v>
      </c>
      <c r="L23" s="2" t="str">
        <f>IF(Session2BusinessTable[[#This Row],[Achievement %]]&gt;=90%,"achived","below target")</f>
        <v>achived</v>
      </c>
      <c r="M23" s="2" t="str">
        <f t="shared" si="1"/>
        <v>eligible</v>
      </c>
      <c r="N23" s="2"/>
      <c r="O23" s="8"/>
      <c r="P23" s="13"/>
    </row>
    <row r="24" spans="1:16">
      <c r="A24" s="12" t="s">
        <v>77</v>
      </c>
      <c r="B24" t="s">
        <v>78</v>
      </c>
      <c r="C24" t="s">
        <v>30</v>
      </c>
      <c r="D24" s="5">
        <v>66000</v>
      </c>
      <c r="E24" s="5">
        <v>69000</v>
      </c>
      <c r="F24" s="5">
        <v>72000</v>
      </c>
      <c r="G24" s="4">
        <v>0.91</v>
      </c>
      <c r="H24" s="6">
        <v>4</v>
      </c>
      <c r="I24">
        <v>10</v>
      </c>
      <c r="J24" s="7">
        <f t="shared" si="0"/>
        <v>0.95833333333333337</v>
      </c>
      <c r="K24" s="7">
        <f>(Session2BusinessTable[[#This Row],[Current Month Sales]]-Session2BusinessTable[[#This Row],[Previous Month Sales]])/Session2BusinessTable[[#This Row],[Previous Month Sales]]</f>
        <v>4.5454545454545456E-2</v>
      </c>
      <c r="L24" s="2" t="str">
        <f>IF(Session2BusinessTable[[#This Row],[Achievement %]]&gt;=90%,"achived","below target")</f>
        <v>achived</v>
      </c>
      <c r="M24" s="2" t="str">
        <f t="shared" si="1"/>
        <v>eligible</v>
      </c>
      <c r="N24" s="2"/>
      <c r="O24" s="8"/>
      <c r="P24" s="13"/>
    </row>
    <row r="25" spans="1:16">
      <c r="A25" s="12" t="s">
        <v>79</v>
      </c>
      <c r="B25" t="s">
        <v>80</v>
      </c>
      <c r="C25" t="s">
        <v>26</v>
      </c>
      <c r="D25" s="5">
        <v>55000</v>
      </c>
      <c r="E25" s="5">
        <v>57000</v>
      </c>
      <c r="F25" s="5">
        <v>60000</v>
      </c>
      <c r="G25" s="4">
        <v>0.94</v>
      </c>
      <c r="H25" s="6">
        <v>4.2</v>
      </c>
      <c r="I25">
        <v>9</v>
      </c>
      <c r="J25" s="7">
        <f t="shared" si="0"/>
        <v>0.95</v>
      </c>
      <c r="K25" s="7">
        <f>(Session2BusinessTable[[#This Row],[Current Month Sales]]-Session2BusinessTable[[#This Row],[Previous Month Sales]])/Session2BusinessTable[[#This Row],[Previous Month Sales]]</f>
        <v>3.6363636363636362E-2</v>
      </c>
      <c r="L25" s="2" t="str">
        <f>IF(Session2BusinessTable[[#This Row],[Achievement %]]&gt;=90%,"achived","below target")</f>
        <v>achived</v>
      </c>
      <c r="M25" s="2" t="str">
        <f t="shared" si="1"/>
        <v>eligible</v>
      </c>
      <c r="N25" s="2"/>
      <c r="O25" s="8"/>
      <c r="P25" s="13"/>
    </row>
    <row r="26" spans="1:16">
      <c r="A26" s="12" t="s">
        <v>81</v>
      </c>
      <c r="B26" t="s">
        <v>82</v>
      </c>
      <c r="C26" t="s">
        <v>41</v>
      </c>
      <c r="D26" s="5">
        <v>69000</v>
      </c>
      <c r="E26" s="5">
        <v>71000</v>
      </c>
      <c r="F26" s="5">
        <v>68000</v>
      </c>
      <c r="G26" s="4">
        <v>0.88</v>
      </c>
      <c r="H26" s="6">
        <v>4.3</v>
      </c>
      <c r="I26">
        <v>11</v>
      </c>
      <c r="J26" s="7">
        <f t="shared" si="0"/>
        <v>1.0441176470588236</v>
      </c>
      <c r="K26" s="7">
        <f>(Session2BusinessTable[[#This Row],[Current Month Sales]]-Session2BusinessTable[[#This Row],[Previous Month Sales]])/Session2BusinessTable[[#This Row],[Previous Month Sales]]</f>
        <v>2.8985507246376812E-2</v>
      </c>
      <c r="L26" s="2" t="str">
        <f>IF(Session2BusinessTable[[#This Row],[Achievement %]]&gt;=90%,"achived","below target")</f>
        <v>achived</v>
      </c>
      <c r="M26" s="2" t="str">
        <f t="shared" si="1"/>
        <v>eligible</v>
      </c>
      <c r="N26" s="2"/>
      <c r="O26" s="8"/>
      <c r="P26" s="13"/>
    </row>
    <row r="27" spans="1:16">
      <c r="A27" s="12" t="s">
        <v>83</v>
      </c>
      <c r="B27" t="s">
        <v>84</v>
      </c>
      <c r="C27" t="s">
        <v>35</v>
      </c>
      <c r="D27" s="5">
        <v>78000</v>
      </c>
      <c r="E27" s="5">
        <v>76000</v>
      </c>
      <c r="F27" s="5">
        <v>80000</v>
      </c>
      <c r="G27" s="4">
        <v>0.9</v>
      </c>
      <c r="H27" s="6">
        <v>4.0999999999999996</v>
      </c>
      <c r="I27">
        <v>12</v>
      </c>
      <c r="J27" s="7">
        <f t="shared" si="0"/>
        <v>0.95</v>
      </c>
      <c r="K27" s="7">
        <f>(Session2BusinessTable[[#This Row],[Current Month Sales]]-Session2BusinessTable[[#This Row],[Previous Month Sales]])/Session2BusinessTable[[#This Row],[Previous Month Sales]]</f>
        <v>-2.564102564102564E-2</v>
      </c>
      <c r="L27" s="2" t="str">
        <f>IF(Session2BusinessTable[[#This Row],[Achievement %]]&gt;=90%,"achived","below target")</f>
        <v>achived</v>
      </c>
      <c r="M27" s="2" t="str">
        <f t="shared" si="1"/>
        <v>eligible</v>
      </c>
      <c r="N27" s="2"/>
      <c r="O27" s="8"/>
      <c r="P27" s="13"/>
    </row>
    <row r="28" spans="1:16">
      <c r="A28" s="14" t="s">
        <v>85</v>
      </c>
      <c r="B28" s="15" t="s">
        <v>86</v>
      </c>
      <c r="C28" s="15" t="s">
        <v>22</v>
      </c>
      <c r="D28" s="16">
        <v>88000</v>
      </c>
      <c r="E28" s="16">
        <v>93000</v>
      </c>
      <c r="F28" s="16">
        <v>90000</v>
      </c>
      <c r="G28" s="17">
        <v>0.95</v>
      </c>
      <c r="H28" s="18">
        <v>4.7</v>
      </c>
      <c r="I28" s="15">
        <v>14</v>
      </c>
      <c r="J28" s="19">
        <f t="shared" si="0"/>
        <v>1.0333333333333334</v>
      </c>
      <c r="K28" s="19">
        <f>(Session2BusinessTable[[#This Row],[Current Month Sales]]-Session2BusinessTable[[#This Row],[Previous Month Sales]])/Session2BusinessTable[[#This Row],[Previous Month Sales]]</f>
        <v>5.6818181818181816E-2</v>
      </c>
      <c r="L28" s="20" t="str">
        <f>IF(Session2BusinessTable[[#This Row],[Achievement %]]&gt;=90%,"achived","below target")</f>
        <v>achived</v>
      </c>
      <c r="M28" s="20" t="str">
        <f t="shared" si="1"/>
        <v>eligible</v>
      </c>
      <c r="N28" s="20"/>
      <c r="O28" s="21"/>
      <c r="P28" s="22"/>
    </row>
  </sheetData>
  <mergeCells count="1">
    <mergeCell ref="A1:P1"/>
  </mergeCells>
  <conditionalFormatting sqref="G4:G28">
    <cfRule type="colorScale" priority="1">
      <colorScale>
        <cfvo type="min"/>
        <cfvo type="percentile" val="50"/>
        <cfvo type="max"/>
        <color rgb="FFFDE2E2"/>
        <color rgb="FFFFF2CC"/>
        <color rgb="FFE2F0D9"/>
      </colorScale>
    </cfRule>
  </conditionalFormatting>
  <pageMargins left="0.7" right="0.7" top="0.75" bottom="0.75" header="0.3" footer="0.3"/>
  <drawing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17"/>
  <sheetViews>
    <sheetView workbookViewId="0">
      <selection sqref="A1:E1"/>
    </sheetView>
  </sheetViews>
  <sheetFormatPr defaultRowHeight="13.8"/>
  <cols>
    <col min="1" max="1" width="8" customWidth="1"/>
    <col min="2" max="2" width="17" customWidth="1"/>
    <col min="3" max="3" width="10" customWidth="1"/>
    <col min="4" max="4" width="46" customWidth="1"/>
    <col min="5" max="5" width="45" customWidth="1"/>
  </cols>
  <sheetData>
    <row r="1" spans="1:5" ht="17.399999999999999">
      <c r="A1" s="37" t="s">
        <v>87</v>
      </c>
      <c r="B1" s="37"/>
      <c r="C1" s="37"/>
      <c r="D1" s="37"/>
      <c r="E1" s="37"/>
    </row>
    <row r="3" spans="1:5">
      <c r="A3" s="27" t="s">
        <v>88</v>
      </c>
      <c r="B3" s="28" t="s">
        <v>89</v>
      </c>
      <c r="C3" s="28" t="s">
        <v>90</v>
      </c>
      <c r="D3" s="28" t="s">
        <v>91</v>
      </c>
      <c r="E3" s="29" t="s">
        <v>92</v>
      </c>
    </row>
    <row r="4" spans="1:5">
      <c r="A4" s="30" t="s">
        <v>93</v>
      </c>
      <c r="B4" s="31" t="s">
        <v>94</v>
      </c>
      <c r="C4" s="31" t="s">
        <v>95</v>
      </c>
      <c r="D4" s="31" t="s">
        <v>96</v>
      </c>
      <c r="E4" s="32" t="str">
        <f ca="1">SUM(E4:E28)</f>
        <v/>
      </c>
    </row>
    <row r="5" spans="1:5">
      <c r="A5" s="30" t="s">
        <v>97</v>
      </c>
      <c r="B5" s="31" t="s">
        <v>98</v>
      </c>
      <c r="C5" s="31" t="s">
        <v>99</v>
      </c>
      <c r="D5" s="31" t="s">
        <v>100</v>
      </c>
      <c r="E5" s="32" t="str">
        <f ca="1">AVERAGE(E4:E28)</f>
        <v/>
      </c>
    </row>
    <row r="6" spans="1:5">
      <c r="A6" s="30" t="s">
        <v>101</v>
      </c>
      <c r="B6" s="31" t="s">
        <v>102</v>
      </c>
      <c r="C6" s="31" t="s">
        <v>103</v>
      </c>
      <c r="D6" s="31" t="s">
        <v>104</v>
      </c>
      <c r="E6" s="32" t="str">
        <f ca="1">MIN(E4:E28)</f>
        <v/>
      </c>
    </row>
    <row r="7" spans="1:5">
      <c r="A7" s="30" t="s">
        <v>105</v>
      </c>
      <c r="B7" s="31" t="s">
        <v>106</v>
      </c>
      <c r="C7" s="31" t="s">
        <v>107</v>
      </c>
      <c r="D7" s="31" t="s">
        <v>108</v>
      </c>
      <c r="E7" s="32" t="str">
        <f ca="1">MAX(E4:E28)</f>
        <v/>
      </c>
    </row>
    <row r="8" spans="1:5">
      <c r="A8" s="30" t="s">
        <v>109</v>
      </c>
      <c r="B8" s="31" t="s">
        <v>110</v>
      </c>
      <c r="C8" s="31" t="s">
        <v>111</v>
      </c>
      <c r="D8" s="31" t="s">
        <v>112</v>
      </c>
      <c r="E8" s="32" t="str">
        <f ca="1">COUNT(E4:E28)</f>
        <v/>
      </c>
    </row>
    <row r="9" spans="1:5">
      <c r="A9" s="30" t="s">
        <v>113</v>
      </c>
      <c r="B9" s="31" t="s">
        <v>114</v>
      </c>
      <c r="C9" s="31" t="s">
        <v>115</v>
      </c>
      <c r="D9" s="31" t="s">
        <v>116</v>
      </c>
      <c r="E9" s="32">
        <f>COUNTA(B4:B28)</f>
        <v>14</v>
      </c>
    </row>
    <row r="10" spans="1:5">
      <c r="A10" s="30" t="s">
        <v>117</v>
      </c>
      <c r="B10" s="31" t="s">
        <v>98</v>
      </c>
      <c r="C10" s="31" t="s">
        <v>118</v>
      </c>
      <c r="D10" s="31" t="s">
        <v>119</v>
      </c>
      <c r="E10" s="32" t="e">
        <f>AVERAGE(H4:H28)</f>
        <v>#DIV/0!</v>
      </c>
    </row>
    <row r="11" spans="1:5">
      <c r="A11" s="30" t="s">
        <v>120</v>
      </c>
      <c r="B11" s="31" t="s">
        <v>121</v>
      </c>
      <c r="C11" s="31" t="s">
        <v>122</v>
      </c>
      <c r="D11" s="31" t="s">
        <v>123</v>
      </c>
      <c r="E11" s="32" t="str">
        <f ca="1">E4/F4</f>
        <v/>
      </c>
    </row>
    <row r="12" spans="1:5">
      <c r="A12" s="30" t="s">
        <v>124</v>
      </c>
      <c r="B12" s="31" t="s">
        <v>13</v>
      </c>
      <c r="C12" s="31" t="s">
        <v>125</v>
      </c>
      <c r="D12" s="31" t="s">
        <v>126</v>
      </c>
      <c r="E12" s="32" t="str">
        <f ca="1">(E4-D4)/D4</f>
        <v/>
      </c>
    </row>
    <row r="13" spans="1:5" ht="27.6">
      <c r="A13" s="30" t="s">
        <v>127</v>
      </c>
      <c r="B13" s="31" t="s">
        <v>128</v>
      </c>
      <c r="C13" s="31" t="s">
        <v>129</v>
      </c>
      <c r="D13" s="31" t="s">
        <v>130</v>
      </c>
      <c r="E13" s="32" t="str">
        <f>IF(J4&gt;=$S$2,"Achieved","Below Target")</f>
        <v>Achieved</v>
      </c>
    </row>
    <row r="14" spans="1:5">
      <c r="A14" s="30" t="s">
        <v>131</v>
      </c>
      <c r="B14" s="31" t="s">
        <v>132</v>
      </c>
      <c r="C14" s="31" t="s">
        <v>133</v>
      </c>
      <c r="D14" s="31" t="s">
        <v>134</v>
      </c>
      <c r="E14" s="32" t="str">
        <f>IF(AND(G4&gt;=$S$4,H4&gt;=4),"Eligible","Not Eligible")</f>
        <v>Not Eligible</v>
      </c>
    </row>
    <row r="15" spans="1:5">
      <c r="A15" s="30" t="s">
        <v>135</v>
      </c>
      <c r="B15" s="31" t="s">
        <v>136</v>
      </c>
      <c r="C15" s="31" t="s">
        <v>137</v>
      </c>
      <c r="D15" s="31" t="s">
        <v>138</v>
      </c>
      <c r="E15" s="32" t="str">
        <f>IF(OR(G4&lt;$S$4,K4&lt;0),"Attention","Normal")</f>
        <v>Normal</v>
      </c>
    </row>
    <row r="16" spans="1:5" ht="27.6">
      <c r="A16" s="30" t="s">
        <v>139</v>
      </c>
      <c r="B16" s="31" t="s">
        <v>140</v>
      </c>
      <c r="C16" s="31" t="s">
        <v>141</v>
      </c>
      <c r="D16" s="31" t="s">
        <v>142</v>
      </c>
      <c r="E16" s="32" t="str">
        <f ca="1">IFERROR(E4/I4,0)</f>
        <v/>
      </c>
    </row>
    <row r="17" spans="1:5">
      <c r="A17" s="33" t="s">
        <v>143</v>
      </c>
      <c r="B17" s="34" t="s">
        <v>144</v>
      </c>
      <c r="C17" s="34" t="s">
        <v>145</v>
      </c>
      <c r="D17" s="34" t="s">
        <v>146</v>
      </c>
      <c r="E17" s="35">
        <f>ROUND(O4,0)</f>
        <v>0</v>
      </c>
    </row>
  </sheetData>
  <mergeCells count="1">
    <mergeCell ref="A1:E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Business_Data</vt:lpstr>
      <vt:lpstr>Student_Tasks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HARINI S</dc:creator>
  <cp:lastModifiedBy>HARINI S</cp:lastModifiedBy>
  <dcterms:created xsi:type="dcterms:W3CDTF">2026-08-10T10:21:26Z</dcterms:created>
  <dcterms:modified xsi:type="dcterms:W3CDTF">2026-08-11T06:33:08Z</dcterms:modified>
</cp:coreProperties>
</file>